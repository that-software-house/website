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0-Day Content Calendar" sheetId="1" state="visible" r:id="rId3"/>
    <sheet name="Instructions &amp; Guidelin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<sst xmlns="http://schemas.openxmlformats.org/spreadsheetml/2006/main" count="284" uniqueCount="261">
  <si>
    <t xml:space="preserve">Day</t>
  </si>
  <si>
    <t xml:space="preserve">Date</t>
  </si>
  <si>
    <t xml:space="preserve">Platform &amp; Time</t>
  </si>
  <si>
    <t xml:space="preserve">Post Type &amp; Format</t>
  </si>
  <si>
    <t xml:space="preserve">Hook (First Line)</t>
  </si>
  <si>
    <t xml:space="preserve">Content Brief</t>
  </si>
  <si>
    <t xml:space="preserve">CTA</t>
  </si>
  <si>
    <t xml:space="preserve">1</t>
  </si>
  <si>
    <t xml:space="preserve">LinkedIn
9:00 AM</t>
  </si>
  <si>
    <t xml:space="preserve">Carousel (6 slides)</t>
  </si>
  <si>
    <t xml:space="preserve">❌ Your website isn't converting because of these 5 UX mistakes</t>
  </si>
  <si>
    <t xml:space="preserve">Slide through common UX mistakes startups make: unclear CTAs, slow load times, poor mobile design, confusing navigation, weak visual hierarchy. End with "We fix these."</t>
  </si>
  <si>
    <t xml:space="preserve">Comment which mistake you're guilty of 👇</t>
  </si>
  <si>
    <t xml:space="preserve">2</t>
  </si>
  <si>
    <t xml:space="preserve">Instagram
11:00 AM</t>
  </si>
  <si>
    <t xml:space="preserve">Reel (15-30s)</t>
  </si>
  <si>
    <t xml:space="preserve">POV: You hired a design agency that actually gets startups 🎯</t>
  </si>
  <si>
    <t xml:space="preserve">Quick cuts showing: discovery call → wireframes → design system → final product. Use trending audio. Show real project transformation.</t>
  </si>
  <si>
    <t xml:space="preserve">Follow for more startup design tips 🚀</t>
  </si>
  <si>
    <t xml:space="preserve">3</t>
  </si>
  <si>
    <t xml:space="preserve">LinkedIn
8:30 AM</t>
  </si>
  <si>
    <t xml:space="preserve">Text Post</t>
  </si>
  <si>
    <t xml:space="preserve">Hot take: Your startup doesn't need another feature. It needs better design.</t>
  </si>
  <si>
    <t xml:space="preserve">Discuss how great design reduces churn, increases conversions, and makes products intuitive. Share example of a client who simplified their product and saw 40% better retention.</t>
  </si>
  <si>
    <t xml:space="preserve">Agree or disagree? Let's debate 👇</t>
  </si>
  <si>
    <t xml:space="preserve">4</t>
  </si>
  <si>
    <t xml:space="preserve">Instagram Stories
2:00 PM</t>
  </si>
  <si>
    <t xml:space="preserve">Story Series (4-5 slides)</t>
  </si>
  <si>
    <t xml:space="preserve">Behind the scenes: How we design a brand identity in 2 weeks ⚡</t>
  </si>
  <si>
    <t xml:space="preserve">Show process: mood boards → typography selection → color palette → logo concepts → final delivery. Make it fast-paced and engaging.</t>
  </si>
  <si>
    <t xml:space="preserve">Swipe up to see our portfolio (link in bio)</t>
  </si>
  <si>
    <t xml:space="preserve">5</t>
  </si>
  <si>
    <t xml:space="preserve">Video Post (60s)</t>
  </si>
  <si>
    <t xml:space="preserve">I audited 50 startup websites. Here's what 80% get wrong...</t>
  </si>
  <si>
    <t xml:space="preserve">Quick talking head video discussing: generic hero sections, missing social proof, unclear value props, poor CTAs, slow performance. Overlay text with key points.</t>
  </si>
  <si>
    <t xml:space="preserve">Want a free audit? Comment "AUDIT" below</t>
  </si>
  <si>
    <t xml:space="preserve">6</t>
  </si>
  <si>
    <t xml:space="preserve">Instagram
10:00 AM</t>
  </si>
  <si>
    <t xml:space="preserve">Carousel (8 slides)</t>
  </si>
  <si>
    <t xml:space="preserve">The Design System Cheat Sheet every founder needs 📋</t>
  </si>
  <si>
    <t xml:space="preserve">Cover: what is a design system, why startups need one, core components (colors, typography, spacing, components), benefits (consistency, speed, scalability), how to start.</t>
  </si>
  <si>
    <t xml:space="preserve">Save this for when you're ready to scale ⚡</t>
  </si>
  <si>
    <t xml:space="preserve">7</t>
  </si>
  <si>
    <t xml:space="preserve">LinkedIn
8:00 AM</t>
  </si>
  <si>
    <t xml:space="preserve">Case Study Post</t>
  </si>
  <si>
    <t xml:space="preserve">How we helped [Client] increase conversions by 156% with better UX</t>
  </si>
  <si>
    <t xml:space="preserve">Share before/after screenshots, the problem, our approach, specific changes made, and results. Make it visual and data-driven.</t>
  </si>
  <si>
    <t xml:space="preserve">Ready for results like this? DM us "GROWTH"</t>
  </si>
  <si>
    <t xml:space="preserve">8</t>
  </si>
  <si>
    <t xml:space="preserve">Instagram Reel
12:00 PM</t>
  </si>
  <si>
    <t xml:space="preserve">Reel (15s)</t>
  </si>
  <si>
    <t xml:space="preserve">Designers explaining Figma to clients be like... 😅</t>
  </si>
  <si>
    <t xml:space="preserve">Humorous take on design jargon vs client understanding. Use trending audio. Relatable content that humanizes your brand.</t>
  </si>
  <si>
    <t xml:space="preserve">Tag a designer who feels this 😂</t>
  </si>
  <si>
    <t xml:space="preserve">9</t>
  </si>
  <si>
    <t xml:space="preserve">Carousel (7 slides)</t>
  </si>
  <si>
    <t xml:space="preserve">Webflow vs WordPress: Which is right for your startup? 🤔</t>
  </si>
  <si>
    <t xml:space="preserve">Compare: ease of use, design flexibility, performance, maintenance, cost, scalability, when to use each. End with "We build on Webflow because..."</t>
  </si>
  <si>
    <t xml:space="preserve">Drop a 🔥 if you're team Webflow</t>
  </si>
  <si>
    <t xml:space="preserve">10</t>
  </si>
  <si>
    <t xml:space="preserve">Before/After Grid</t>
  </si>
  <si>
    <t xml:space="preserve">1 year ago vs today: Our biggest brand transformation 🦋</t>
  </si>
  <si>
    <t xml:space="preserve">Split-screen showing dramatic before/after of a rebrand. Show logo, website, and brand collateral side-by-side.</t>
  </si>
  <si>
    <t xml:space="preserve">DM us to transform your brand 💌</t>
  </si>
  <si>
    <t xml:space="preserve">11</t>
  </si>
  <si>
    <t xml:space="preserve">Text Post with Poll</t>
  </si>
  <si>
    <t xml:space="preserve">Quick poll: What's your biggest design challenge right now?</t>
  </si>
  <si>
    <t xml:space="preserve">Create poll with options: 1) Finding the right designer 2) Staying on brand 3) Converting visitors 4) Standing out from competitors. Engage with every response.</t>
  </si>
  <si>
    <t xml:space="preserve">Vote &amp; comment why 👇</t>
  </si>
  <si>
    <t xml:space="preserve">12</t>
  </si>
  <si>
    <t xml:space="preserve">Instagram Stories
3:00 PM</t>
  </si>
  <si>
    <t xml:space="preserve">Interactive Quiz</t>
  </si>
  <si>
    <t xml:space="preserve">Does your startup need a rebrand? Take our 60-second quiz 🎯</t>
  </si>
  <si>
    <t xml:space="preserve">Create 5-question quiz: outdated logo? clear positioning? consistent brand? professional materials? Use quiz sticker. Give personalized results.</t>
  </si>
  <si>
    <t xml:space="preserve">Screenshot your result &amp; tag us!</t>
  </si>
  <si>
    <t xml:space="preserve">13</t>
  </si>
  <si>
    <t xml:space="preserve">Video Testimonial</t>
  </si>
  <si>
    <t xml:space="preserve">Our client said what?! 🎤 Here's what [Client Name] said about working with us</t>
  </si>
  <si>
    <t xml:space="preserve">Share authentic client testimonial video (60-90s). Show their face, company, and specific results. Add subtitles.</t>
  </si>
  <si>
    <t xml:space="preserve">Ready to be our next success story? Link in comments</t>
  </si>
  <si>
    <t xml:space="preserve">14</t>
  </si>
  <si>
    <t xml:space="preserve">Carousel (10 slides)</t>
  </si>
  <si>
    <t xml:space="preserve">The Ultimate Startup Branding Checklist ✅</t>
  </si>
  <si>
    <t xml:space="preserve">Cover: logo suite, color palette, typography, brand voice, messaging, visual assets, brand guidelines, website, social templates, pitch deck design.</t>
  </si>
  <si>
    <t xml:space="preserve">Save this &amp; check off what you have 💾</t>
  </si>
  <si>
    <t xml:space="preserve">15</t>
  </si>
  <si>
    <t xml:space="preserve">Thought Leadership</t>
  </si>
  <si>
    <t xml:space="preserve">The future of startup design is AI-assisted, not AI-replaced. Here's why 🤖</t>
  </si>
  <si>
    <t xml:space="preserve">Discuss how AI tools enhance designers' work, the human elements AI can't replace, and how you're integrating AI into your workflow ethically.</t>
  </si>
  <si>
    <t xml:space="preserve">What's your take on AI in design? 💭</t>
  </si>
  <si>
    <t xml:space="preserve">16</t>
  </si>
  <si>
    <t xml:space="preserve">Instagram Reel
1:00 PM</t>
  </si>
  <si>
    <t xml:space="preserve">Reel (20s)</t>
  </si>
  <si>
    <t xml:space="preserve">When the client says "make it pop" for the 5th time... 💥</t>
  </si>
  <si>
    <t xml:space="preserve">Funny, relatable designer moment. Use trending sound. Build community with humor.</t>
  </si>
  <si>
    <t xml:space="preserve">Follow if you get it 😂 Tag your design team</t>
  </si>
  <si>
    <t xml:space="preserve">17</t>
  </si>
  <si>
    <t xml:space="preserve">6 Signs it's time to invest in professional design (not templates)</t>
  </si>
  <si>
    <t xml:space="preserve">Cover: raising funding, launching product, scaling team, competitors look better, DIY isn't working, need to build trust. Make each relatable.</t>
  </si>
  <si>
    <t xml:space="preserve">Which sign are you seeing? Comment the number</t>
  </si>
  <si>
    <t xml:space="preserve">18</t>
  </si>
  <si>
    <t xml:space="preserve">Design Tip Series</t>
  </si>
  <si>
    <t xml:space="preserve">30-second design tip: The 60-30-10 color rule 🎨</t>
  </si>
  <si>
    <t xml:space="preserve">Quick educational reel explaining the rule with visual examples. Make it actionable and save-worthy.</t>
  </si>
  <si>
    <t xml:space="preserve">Try this in your next design! Show us what you create 👇</t>
  </si>
  <si>
    <t xml:space="preserve">19</t>
  </si>
  <si>
    <t xml:space="preserve">Industry Insights</t>
  </si>
  <si>
    <t xml:space="preserve">I analyzed 100 SaaS landing pages. Here are the 3 patterns that convert best 📊</t>
  </si>
  <si>
    <t xml:space="preserve">Data-driven post sharing: clear headline + subhead formula, social proof placement, CTA button copy that works. Include screenshots/examples.</t>
  </si>
  <si>
    <t xml:space="preserve">Want the full report? Drop your email below</t>
  </si>
  <si>
    <t xml:space="preserve">20</t>
  </si>
  <si>
    <t xml:space="preserve">Instagram Stories
4:00 PM</t>
  </si>
  <si>
    <t xml:space="preserve">Q&amp;A Session</t>
  </si>
  <si>
    <t xml:space="preserve">Ask me anything about startup design! 💬</t>
  </si>
  <si>
    <t xml:space="preserve">Open question box. Answer 8-10 questions about design, branding, Webflow, working with agencies. Be authentic and helpful.</t>
  </si>
  <si>
    <t xml:space="preserve">Drop your questions now! Answering all today</t>
  </si>
  <si>
    <t xml:space="preserve">21</t>
  </si>
  <si>
    <t xml:space="preserve">Personal Story</t>
  </si>
  <si>
    <t xml:space="preserve">The design project that almost broke us (and what we learned) 💡</t>
  </si>
  <si>
    <t xml:space="preserve">Share a challenging project, the obstacles faced, how you overcame them, and lessons learned. Be vulnerable and authentic.</t>
  </si>
  <si>
    <t xml:space="preserve">Ever had a project from hell? Share your story 👇</t>
  </si>
  <si>
    <t xml:space="preserve">22</t>
  </si>
  <si>
    <t xml:space="preserve">Carousel (5 slides)</t>
  </si>
  <si>
    <t xml:space="preserve">Your 2026 design audit checklist 🔍</t>
  </si>
  <si>
    <t xml:space="preserve">Checklist format: Is your brand consistent? Mobile-friendly? Load under 3s? Clear CTAs? Modern design? Each slide is one check with explanation.</t>
  </si>
  <si>
    <t xml:space="preserve">How many boxes can you check? ✅</t>
  </si>
  <si>
    <t xml:space="preserve">23</t>
  </si>
  <si>
    <t xml:space="preserve">Value-Packed Post</t>
  </si>
  <si>
    <t xml:space="preserve">Free resource: The 15-point website launch checklist (saved our clients $50K in mistakes)</t>
  </si>
  <si>
    <t xml:space="preserve">Share actual valuable checklist in carousel or document. Build trust by giving before asking.</t>
  </si>
  <si>
    <t xml:space="preserve">Download the full checklist (link in comments)</t>
  </si>
  <si>
    <t xml:space="preserve">24</t>
  </si>
  <si>
    <t xml:space="preserve">Reel (25s)</t>
  </si>
  <si>
    <t xml:space="preserve">POV: Watching your conversion rate climb after the redesign 📈</t>
  </si>
  <si>
    <t xml:space="preserve">Satisfying visual of numbers going up, graphs rising, celebration. Use trending audio. Feel-good content that sells outcome.</t>
  </si>
  <si>
    <t xml:space="preserve">Ready for this feeling? Link in bio 🚀</t>
  </si>
  <si>
    <t xml:space="preserve">25</t>
  </si>
  <si>
    <t xml:space="preserve">The ROI of great design: What startups actually get from investing</t>
  </si>
  <si>
    <t xml:space="preserve">Break down: increased conversions (%), faster product adoption, reduced support tickets, easier fundraising, better talent attraction, higher valuations, competitive advantage.</t>
  </si>
  <si>
    <t xml:space="preserve">Which benefit matters most to you? Vote 👇</t>
  </si>
  <si>
    <t xml:space="preserve">26</t>
  </si>
  <si>
    <t xml:space="preserve">Portfolio Showcase</t>
  </si>
  <si>
    <t xml:space="preserve">Project spotlight: How we helped [Startup] go from idea to Series A-ready ✨</t>
  </si>
  <si>
    <t xml:space="preserve">Beautiful carousel showing logo, brand identity, website, pitch deck. Tell the transformation story. Make it aspirational.</t>
  </si>
  <si>
    <t xml:space="preserve">See full case study (link in bio) 💼</t>
  </si>
  <si>
    <t xml:space="preserve">27</t>
  </si>
  <si>
    <t xml:space="preserve">Direct Offer Post</t>
  </si>
  <si>
    <t xml:space="preserve">February special: Free brand audit + strategy session for 5 startups 🎯</t>
  </si>
  <si>
    <t xml:space="preserve">Clear limited offer. Explain what they get (30-min call, audit report, action plan). Create urgency with limited spots.</t>
  </si>
  <si>
    <t xml:space="preserve">Comment "AUDIT" + your website to claim your spot</t>
  </si>
  <si>
    <t xml:space="preserve">28</t>
  </si>
  <si>
    <t xml:space="preserve">Story Series</t>
  </si>
  <si>
    <t xml:space="preserve">Client results you need to see 🤯 (swipe for before/after)</t>
  </si>
  <si>
    <t xml:space="preserve">Show 4-5 dramatic before/afters from different projects. Include metrics where possible. Build credibility visually.</t>
  </si>
  <si>
    <t xml:space="preserve">Want results like these? DM "READY"</t>
  </si>
  <si>
    <t xml:space="preserve">29</t>
  </si>
  <si>
    <t xml:space="preserve">Unpopular opinion: Most startups over-design their MVP. Here's what to focus on instead 👇</t>
  </si>
  <si>
    <t xml:space="preserve">Discuss MVP design philosophy: clarity over complexity, test before polish, focus on core experience, iterate based on data. Share your framework.</t>
  </si>
  <si>
    <t xml:space="preserve">Agree? Disagree? Let's discuss 💬</t>
  </si>
  <si>
    <t xml:space="preserve">30</t>
  </si>
  <si>
    <t xml:space="preserve">Month Recap Carousel</t>
  </si>
  <si>
    <t xml:space="preserve">That's a wrap on [Month]! Here's what we shipped 🚀</t>
  </si>
  <si>
    <t xml:space="preserve">Showcase: X projects launched, X brands designed, X websites built, best moments, client wins, team highlights. Celebrate and show momentum.</t>
  </si>
  <si>
    <t xml:space="preserve">Who's ready for an amazing [Next Month]? 🙋‍♂️</t>
  </si>
  <si>
    <t xml:space="preserve">THAT SOFTWARE HOUSE - 30-DAY CONTENT CALENDAR GUIDE</t>
  </si>
  <si>
    <t xml:space="preserve">HOW TO USE THIS CALENDAR</t>
  </si>
  <si>
    <t xml:space="preserve">✅ CHECKPOINT: Before you start</t>
  </si>
  <si>
    <t xml:space="preserve">• You should see 30 rows of content with 7 columns (Day, Date, Platform &amp; Time, Post Type, Hook, Content Brief, CTA)</t>
  </si>
  <si>
    <t xml:space="preserve">• Each date should auto-calculate from TODAY() - if you see errors, check your Excel formulas</t>
  </si>
  <si>
    <t xml:space="preserve">• All cells should be readable without scrolling horizontally</t>
  </si>
  <si>
    <t xml:space="preserve">⚠️ FAILURE SIGNAL: If dates show as numbers instead of dates, format column B as 'Short Date'</t>
  </si>
  <si>
    <t xml:space="preserve">DAILY WORKFLOW</t>
  </si>
  <si>
    <t xml:space="preserve">1. CHECK THE POST FOR TODAY</t>
  </si>
  <si>
    <t xml:space="preserve">   ✅ Success looks like: The date in column B matches today's date</t>
  </si>
  <si>
    <t xml:space="preserve">   • Review the platform and recommended posting time</t>
  </si>
  <si>
    <t xml:space="preserve">   • Note the post type (carousel, reel, text post, etc.)</t>
  </si>
  <si>
    <t xml:space="preserve">   ⚠️ Failure signal: If the platform doesn't match your audience activity, adjust timing</t>
  </si>
  <si>
    <t xml:space="preserve">2. CREATE YOUR CONTENT</t>
  </si>
  <si>
    <t xml:space="preserve">   • Start with the HOOK (column E) - this is your first line/opening</t>
  </si>
  <si>
    <t xml:space="preserve">   • Use the CONTENT BRIEF (column F) as your outline - expand on these points</t>
  </si>
  <si>
    <t xml:space="preserve">   • For carousels: Create the number of slides mentioned</t>
  </si>
  <si>
    <t xml:space="preserve">   • For reels: Aim for the suggested length (15-30s)</t>
  </si>
  <si>
    <t xml:space="preserve">   ✅ Success: Your hook makes someone stop scrolling within 1 second</t>
  </si>
  <si>
    <t xml:space="preserve">   ⚠️ Failure signal: If your hook is longer than 2 lines, shorten it</t>
  </si>
  <si>
    <t xml:space="preserve">3. ADD VISUALS</t>
  </si>
  <si>
    <t xml:space="preserve">   • Match the format specified (carousel, reel, story, etc.)</t>
  </si>
  <si>
    <t xml:space="preserve">   • For carousels: Use consistent branding and fonts</t>
  </si>
  <si>
    <t xml:space="preserve">   • For reels: Use trending audio when suggested</t>
  </si>
  <si>
    <t xml:space="preserve">   ✅ Success: Your visuals align with That Software House brand colors and style</t>
  </si>
  <si>
    <t xml:space="preserve">   🔍 Checkpoint: Does this look professional enough to attract premium clients?</t>
  </si>
  <si>
    <t xml:space="preserve">4. END WITH THE CTA</t>
  </si>
  <si>
    <t xml:space="preserve">   • Copy the CTA from column G exactly, or adapt slightly for voice</t>
  </si>
  <si>
    <t xml:space="preserve">   • Every post MUST have a clear call-to-action</t>
  </si>
  <si>
    <t xml:space="preserve">   ✅ Success: Your CTA tells people exactly what to do next</t>
  </si>
  <si>
    <t xml:space="preserve">   ⚠️ Failure signal: If no one engages with your CTA, make it more specific or valuable</t>
  </si>
  <si>
    <t xml:space="preserve">5. POST AT OPTIMAL TIMES</t>
  </si>
  <si>
    <t xml:space="preserve">   • Follow the suggested times in column C</t>
  </si>
  <si>
    <t xml:space="preserve">   • LinkedIn: Best times are 8-9:30 AM on weekdays (professionals checking before work)</t>
  </si>
  <si>
    <t xml:space="preserve">   • Instagram: 10 AM - 2 PM (lunch breaks) and 7-9 PM (evening scrolling)</t>
  </si>
  <si>
    <t xml:space="preserve">   🔍 Checkpoint: Set a reminder 10 minutes before posting time</t>
  </si>
  <si>
    <t xml:space="preserve">   ⚠️ Failure signal: If engagement is low, test different times and track results</t>
  </si>
  <si>
    <t xml:space="preserve">CONTENT MIX BREAKDOWN</t>
  </si>
  <si>
    <t xml:space="preserve">• Educational: 40% (how-tos, tips, checklists) - Builds authority</t>
  </si>
  <si>
    <t xml:space="preserve">• Social Proof: 25% (case studies, testimonials, results) - Builds trust</t>
  </si>
  <si>
    <t xml:space="preserve">• Engagement: 20% (polls, questions, relatable humor) - Builds community</t>
  </si>
  <si>
    <t xml:space="preserve">• Promotional: 15% (offers, CTAs, direct selling) - Drives conversions</t>
  </si>
  <si>
    <t xml:space="preserve">🔍 WEEKLY CHECKPOINT QUESTIONS</t>
  </si>
  <si>
    <t xml:space="preserve">Ask yourself every Friday:</t>
  </si>
  <si>
    <t xml:space="preserve">1. Which post got the most engagement? Why?</t>
  </si>
  <si>
    <t xml:space="preserve">2. Did any CTA generate actual leads/DMs?</t>
  </si>
  <si>
    <t xml:space="preserve">3. Are you posting at the suggested times consistently?</t>
  </si>
  <si>
    <t xml:space="preserve">4. Is your content mix balanced? (Check percentages above)</t>
  </si>
  <si>
    <t xml:space="preserve">5. Are you responding to comments within 2 hours?</t>
  </si>
  <si>
    <t xml:space="preserve">✅ Success looks like:</t>
  </si>
  <si>
    <t xml:space="preserve">• At least 2-3 posts per week with strong engagement</t>
  </si>
  <si>
    <t xml:space="preserve">• 5+ meaningful conversations started in comments</t>
  </si>
  <si>
    <t xml:space="preserve">• 2-3 DMs or leads from CTAs</t>
  </si>
  <si>
    <t xml:space="preserve">• Growing follower count (quality over quantity)</t>
  </si>
  <si>
    <t xml:space="preserve">⚠️ FAILURE SIGNALS - Revisit your strategy if:</t>
  </si>
  <si>
    <t xml:space="preserve">• Engagement rate drops below 2% on LinkedIn or 5% on Instagram</t>
  </si>
  <si>
    <t xml:space="preserve">• Zero DMs or inquiries after 2 weeks</t>
  </si>
  <si>
    <t xml:space="preserve">• You're skipping posting days regularly</t>
  </si>
  <si>
    <t xml:space="preserve">• Content feels forced or doesn't match your brand voice</t>
  </si>
  <si>
    <t xml:space="preserve">PLATFORM-SPECIFIC BEST PRACTICES</t>
  </si>
  <si>
    <t xml:space="preserve">LINKEDIN:</t>
  </si>
  <si>
    <t xml:space="preserve">• Hook in first 2 lines (before 'see more')</t>
  </si>
  <si>
    <t xml:space="preserve">• Use line breaks for readability</t>
  </si>
  <si>
    <t xml:space="preserve">• Tag relevant people/companies</t>
  </si>
  <si>
    <t xml:space="preserve">• Respond to every comment within 1 hour</t>
  </si>
  <si>
    <t xml:space="preserve">• Use 3-5 relevant hashtags max</t>
  </si>
  <si>
    <t xml:space="preserve">✅ Success: Your post appears in multiple hashtag feeds</t>
  </si>
  <si>
    <t xml:space="preserve">INSTAGRAM:</t>
  </si>
  <si>
    <t xml:space="preserve">• First 3 seconds of reels are CRITICAL</t>
  </si>
  <si>
    <t xml:space="preserve">• Use trending audio for reels</t>
  </si>
  <si>
    <t xml:space="preserve">• Hook in caption before '...more'</t>
  </si>
  <si>
    <t xml:space="preserve">• Post stories daily to stay top of mind</t>
  </si>
  <si>
    <t xml:space="preserve">• Use all 30 hashtags (mix of big and niche)</t>
  </si>
  <si>
    <t xml:space="preserve">✅ Success: Your reel gets pushed to Explore page</t>
  </si>
  <si>
    <t xml:space="preserve">TRACKING YOUR RESULTS</t>
  </si>
  <si>
    <t xml:space="preserve">Create a simple tracking sheet with:</t>
  </si>
  <si>
    <t xml:space="preserve">• Date | Post Type | Hook | Likes | Comments | Shares | Saves | Link Clicks | DMs</t>
  </si>
  <si>
    <t xml:space="preserve">🔍 Monthly checkpoint:</t>
  </si>
  <si>
    <t xml:space="preserve">• What were your top 3 posts? Identify patterns</t>
  </si>
  <si>
    <t xml:space="preserve">• What was your average engagement rate?</t>
  </si>
  <si>
    <t xml:space="preserve">• How many leads did content generate?</t>
  </si>
  <si>
    <t xml:space="preserve">• What topics resonated most with your audience?</t>
  </si>
  <si>
    <t xml:space="preserve">CONTENT CREATION SHORTCUTS</t>
  </si>
  <si>
    <t xml:space="preserve">• Batch create: Design 7 carousels on Monday for the week</t>
  </si>
  <si>
    <t xml:space="preserve">• Repurpose: Turn a LinkedIn carousel into an Instagram reel</t>
  </si>
  <si>
    <t xml:space="preserve">• Schedule: Use Buffer, Later, or Metricool to schedule ahead</t>
  </si>
  <si>
    <t xml:space="preserve">• Templates: Create Canva templates for consistent branding</t>
  </si>
  <si>
    <t xml:space="preserve">⚠️ If you miss a day: Post the next day, don't double-post to catch up</t>
  </si>
  <si>
    <t xml:space="preserve">✅ Success: You're 2-3 days ahead with content already created</t>
  </si>
  <si>
    <t xml:space="preserve">NEED HELP?</t>
  </si>
  <si>
    <t xml:space="preserve">If a post isn't performing:</t>
  </si>
  <si>
    <t xml:space="preserve">1. Check the hook - is it specific and compelling?</t>
  </si>
  <si>
    <t xml:space="preserve">2. Review the visual - is it scroll-stopping?</t>
  </si>
  <si>
    <t xml:space="preserve">3. Assess the timing - did you post at optimal hours?</t>
  </si>
  <si>
    <t xml:space="preserve">4. Evaluate the CTA - is it clear and valuable?</t>
  </si>
  <si>
    <t xml:space="preserve">5. Consider your audience - is this what they want to see?</t>
  </si>
  <si>
    <t xml:space="preserve">Remember: Consistency beats perfection. Post daily, engage authentically, and adjust based on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</si>
</sst>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3"/>
      <color rgb="FF2C3E50"/>
      <name val="Cambria"/>
      <family val="0"/>
      <charset val="1"/>
    </font>
    <font>
      <b val="true"/>
      <sz val="11"/>
      <color rgb="FF27AE60"/>
      <name val="Cambria"/>
      <family val="0"/>
      <charset val="1"/>
    </font>
    <font>
      <b val="true"/>
      <sz val="11"/>
      <color rgb="FFE74C3C"/>
      <name val="Cambria"/>
      <family val="0"/>
      <charset val="1"/>
    </font>
    <font>
      <b val="true"/>
      <sz val="11"/>
      <color rgb="FF3498DB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98DB"/>
      <rgbColor rgb="FF33CCCC"/>
      <rgbColor rgb="FF99CC00"/>
      <rgbColor rgb="FFFFCC00"/>
      <rgbColor rgb="FFFF9900"/>
      <rgbColor rgb="FFE74C3C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46.25" hidden="false" customHeight="false" outlineLevel="0" collapsed="false">
      <c r="A2" s="2" t="s">
        <v>7</v>
      </c>
      <c r="B2" s="3" t="n">
        <f aca="true">TODAY()</f>
        <v>46062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</row>
    <row r="3" customFormat="false" ht="46.25" hidden="false" customHeight="false" outlineLevel="0" collapsed="false">
      <c r="A3" s="2" t="s">
        <v>13</v>
      </c>
      <c r="B3" s="3" t="n">
        <f aca="true">TODAY()+1</f>
        <v>46063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customFormat="false" ht="57.45" hidden="false" customHeight="false" outlineLevel="0" collapsed="false">
      <c r="A4" s="2" t="s">
        <v>19</v>
      </c>
      <c r="B4" s="3" t="n">
        <f aca="true">TODAY()+2</f>
        <v>46064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</row>
    <row r="5" customFormat="false" ht="46.25" hidden="false" customHeight="false" outlineLevel="0" collapsed="false">
      <c r="A5" s="2" t="s">
        <v>25</v>
      </c>
      <c r="B5" s="3" t="n">
        <f aca="true">TODAY()+3</f>
        <v>46065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customFormat="false" ht="46.25" hidden="false" customHeight="false" outlineLevel="0" collapsed="false">
      <c r="A6" s="2" t="s">
        <v>31</v>
      </c>
      <c r="B6" s="3" t="n">
        <f aca="true">TODAY()+4</f>
        <v>46066</v>
      </c>
      <c r="C6" s="4" t="s">
        <v>8</v>
      </c>
      <c r="D6" s="4" t="s">
        <v>32</v>
      </c>
      <c r="E6" s="4" t="s">
        <v>33</v>
      </c>
      <c r="F6" s="4" t="s">
        <v>34</v>
      </c>
      <c r="G6" s="4" t="s">
        <v>35</v>
      </c>
    </row>
    <row r="7" customFormat="false" ht="46.25" hidden="false" customHeight="false" outlineLevel="0" collapsed="false">
      <c r="A7" s="2" t="s">
        <v>36</v>
      </c>
      <c r="B7" s="3" t="n">
        <f aca="true">TODAY()+5</f>
        <v>46067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</row>
    <row r="8" customFormat="false" ht="35.05" hidden="false" customHeight="false" outlineLevel="0" collapsed="false">
      <c r="A8" s="2" t="s">
        <v>42</v>
      </c>
      <c r="B8" s="3" t="n">
        <f aca="true">TODAY()+6</f>
        <v>46068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</row>
    <row r="9" customFormat="false" ht="35.05" hidden="false" customHeight="false" outlineLevel="0" collapsed="false">
      <c r="A9" s="2" t="s">
        <v>48</v>
      </c>
      <c r="B9" s="3" t="n">
        <f aca="true">TODAY()+7</f>
        <v>46069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</row>
    <row r="10" customFormat="false" ht="46.25" hidden="false" customHeight="false" outlineLevel="0" collapsed="false">
      <c r="A10" s="2" t="s">
        <v>54</v>
      </c>
      <c r="B10" s="3" t="n">
        <f aca="true">TODAY()+8</f>
        <v>46070</v>
      </c>
      <c r="C10" s="4" t="s">
        <v>8</v>
      </c>
      <c r="D10" s="4" t="s">
        <v>55</v>
      </c>
      <c r="E10" s="4" t="s">
        <v>56</v>
      </c>
      <c r="F10" s="4" t="s">
        <v>57</v>
      </c>
      <c r="G10" s="4" t="s">
        <v>58</v>
      </c>
    </row>
    <row r="11" customFormat="false" ht="35.05" hidden="false" customHeight="false" outlineLevel="0" collapsed="false">
      <c r="A11" s="2" t="s">
        <v>59</v>
      </c>
      <c r="B11" s="3" t="n">
        <f aca="true">TODAY()+9</f>
        <v>46071</v>
      </c>
      <c r="C11" s="4" t="s">
        <v>14</v>
      </c>
      <c r="D11" s="4" t="s">
        <v>60</v>
      </c>
      <c r="E11" s="4" t="s">
        <v>61</v>
      </c>
      <c r="F11" s="4" t="s">
        <v>62</v>
      </c>
      <c r="G11" s="4" t="s">
        <v>63</v>
      </c>
    </row>
    <row r="12" customFormat="false" ht="46.25" hidden="false" customHeight="false" outlineLevel="0" collapsed="false">
      <c r="A12" s="2" t="s">
        <v>64</v>
      </c>
      <c r="B12" s="3" t="n">
        <f aca="true">TODAY()+10</f>
        <v>46072</v>
      </c>
      <c r="C12" s="4" t="s">
        <v>20</v>
      </c>
      <c r="D12" s="4" t="s">
        <v>65</v>
      </c>
      <c r="E12" s="4" t="s">
        <v>66</v>
      </c>
      <c r="F12" s="4" t="s">
        <v>67</v>
      </c>
      <c r="G12" s="4" t="s">
        <v>68</v>
      </c>
    </row>
    <row r="13" customFormat="false" ht="46.25" hidden="false" customHeight="false" outlineLevel="0" collapsed="false">
      <c r="A13" s="2" t="s">
        <v>69</v>
      </c>
      <c r="B13" s="3" t="n">
        <f aca="true">TODAY()+11</f>
        <v>46073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74</v>
      </c>
    </row>
    <row r="14" customFormat="false" ht="35.05" hidden="false" customHeight="false" outlineLevel="0" collapsed="false">
      <c r="A14" s="2" t="s">
        <v>75</v>
      </c>
      <c r="B14" s="3" t="n">
        <f aca="true">TODAY()+12</f>
        <v>46074</v>
      </c>
      <c r="C14" s="4" t="s">
        <v>8</v>
      </c>
      <c r="D14" s="4" t="s">
        <v>76</v>
      </c>
      <c r="E14" s="4" t="s">
        <v>77</v>
      </c>
      <c r="F14" s="4" t="s">
        <v>78</v>
      </c>
      <c r="G14" s="4" t="s">
        <v>79</v>
      </c>
    </row>
    <row r="15" customFormat="false" ht="46.25" hidden="false" customHeight="false" outlineLevel="0" collapsed="false">
      <c r="A15" s="2" t="s">
        <v>80</v>
      </c>
      <c r="B15" s="3" t="n">
        <f aca="true">TODAY()+13</f>
        <v>46075</v>
      </c>
      <c r="C15" s="4" t="s">
        <v>37</v>
      </c>
      <c r="D15" s="4" t="s">
        <v>81</v>
      </c>
      <c r="E15" s="4" t="s">
        <v>82</v>
      </c>
      <c r="F15" s="4" t="s">
        <v>83</v>
      </c>
      <c r="G15" s="4" t="s">
        <v>84</v>
      </c>
    </row>
    <row r="16" customFormat="false" ht="46.25" hidden="false" customHeight="false" outlineLevel="0" collapsed="false">
      <c r="A16" s="2" t="s">
        <v>85</v>
      </c>
      <c r="B16" s="3" t="n">
        <f aca="true">TODAY()+14</f>
        <v>46076</v>
      </c>
      <c r="C16" s="4" t="s">
        <v>43</v>
      </c>
      <c r="D16" s="4" t="s">
        <v>86</v>
      </c>
      <c r="E16" s="4" t="s">
        <v>87</v>
      </c>
      <c r="F16" s="4" t="s">
        <v>88</v>
      </c>
      <c r="G16" s="4" t="s">
        <v>89</v>
      </c>
    </row>
    <row r="17" customFormat="false" ht="23.85" hidden="false" customHeight="false" outlineLevel="0" collapsed="false">
      <c r="A17" s="2" t="s">
        <v>90</v>
      </c>
      <c r="B17" s="3" t="n">
        <f aca="true">TODAY()+15</f>
        <v>46077</v>
      </c>
      <c r="C17" s="4" t="s">
        <v>91</v>
      </c>
      <c r="D17" s="4" t="s">
        <v>92</v>
      </c>
      <c r="E17" s="4" t="s">
        <v>93</v>
      </c>
      <c r="F17" s="4" t="s">
        <v>94</v>
      </c>
      <c r="G17" s="4" t="s">
        <v>95</v>
      </c>
    </row>
    <row r="18" customFormat="false" ht="46.25" hidden="false" customHeight="false" outlineLevel="0" collapsed="false">
      <c r="A18" s="2" t="s">
        <v>96</v>
      </c>
      <c r="B18" s="3" t="n">
        <f aca="true">TODAY()+16</f>
        <v>46078</v>
      </c>
      <c r="C18" s="4" t="s">
        <v>8</v>
      </c>
      <c r="D18" s="4" t="s">
        <v>9</v>
      </c>
      <c r="E18" s="4" t="s">
        <v>97</v>
      </c>
      <c r="F18" s="4" t="s">
        <v>98</v>
      </c>
      <c r="G18" s="4" t="s">
        <v>99</v>
      </c>
    </row>
    <row r="19" customFormat="false" ht="35.05" hidden="false" customHeight="false" outlineLevel="0" collapsed="false">
      <c r="A19" s="2" t="s">
        <v>100</v>
      </c>
      <c r="B19" s="3" t="n">
        <f aca="true">TODAY()+17</f>
        <v>46079</v>
      </c>
      <c r="C19" s="4" t="s">
        <v>14</v>
      </c>
      <c r="D19" s="4" t="s">
        <v>101</v>
      </c>
      <c r="E19" s="4" t="s">
        <v>102</v>
      </c>
      <c r="F19" s="4" t="s">
        <v>103</v>
      </c>
      <c r="G19" s="4" t="s">
        <v>104</v>
      </c>
    </row>
    <row r="20" customFormat="false" ht="46.25" hidden="false" customHeight="false" outlineLevel="0" collapsed="false">
      <c r="A20" s="2" t="s">
        <v>105</v>
      </c>
      <c r="B20" s="3" t="n">
        <f aca="true">TODAY()+18</f>
        <v>46080</v>
      </c>
      <c r="C20" s="4" t="s">
        <v>20</v>
      </c>
      <c r="D20" s="4" t="s">
        <v>106</v>
      </c>
      <c r="E20" s="4" t="s">
        <v>107</v>
      </c>
      <c r="F20" s="4" t="s">
        <v>108</v>
      </c>
      <c r="G20" s="4" t="s">
        <v>109</v>
      </c>
    </row>
    <row r="21" customFormat="false" ht="35.05" hidden="false" customHeight="false" outlineLevel="0" collapsed="false">
      <c r="A21" s="2" t="s">
        <v>110</v>
      </c>
      <c r="B21" s="3" t="n">
        <f aca="true">TODAY()+19</f>
        <v>46081</v>
      </c>
      <c r="C21" s="4" t="s">
        <v>111</v>
      </c>
      <c r="D21" s="4" t="s">
        <v>112</v>
      </c>
      <c r="E21" s="4" t="s">
        <v>113</v>
      </c>
      <c r="F21" s="4" t="s">
        <v>114</v>
      </c>
      <c r="G21" s="4" t="s">
        <v>115</v>
      </c>
    </row>
    <row r="22" customFormat="false" ht="35.05" hidden="false" customHeight="false" outlineLevel="0" collapsed="false">
      <c r="A22" s="2" t="s">
        <v>116</v>
      </c>
      <c r="B22" s="3" t="n">
        <f aca="true">TODAY()+20</f>
        <v>46082</v>
      </c>
      <c r="C22" s="4" t="s">
        <v>8</v>
      </c>
      <c r="D22" s="4" t="s">
        <v>117</v>
      </c>
      <c r="E22" s="4" t="s">
        <v>118</v>
      </c>
      <c r="F22" s="4" t="s">
        <v>119</v>
      </c>
      <c r="G22" s="4" t="s">
        <v>120</v>
      </c>
    </row>
    <row r="23" customFormat="false" ht="46.25" hidden="false" customHeight="false" outlineLevel="0" collapsed="false">
      <c r="A23" s="2" t="s">
        <v>121</v>
      </c>
      <c r="B23" s="3" t="n">
        <f aca="true">TODAY()+21</f>
        <v>46083</v>
      </c>
      <c r="C23" s="4" t="s">
        <v>37</v>
      </c>
      <c r="D23" s="4" t="s">
        <v>122</v>
      </c>
      <c r="E23" s="4" t="s">
        <v>123</v>
      </c>
      <c r="F23" s="4" t="s">
        <v>124</v>
      </c>
      <c r="G23" s="4" t="s">
        <v>125</v>
      </c>
    </row>
    <row r="24" customFormat="false" ht="23.85" hidden="false" customHeight="false" outlineLevel="0" collapsed="false">
      <c r="A24" s="2" t="s">
        <v>126</v>
      </c>
      <c r="B24" s="3" t="n">
        <f aca="true">TODAY()+22</f>
        <v>46084</v>
      </c>
      <c r="C24" s="4" t="s">
        <v>43</v>
      </c>
      <c r="D24" s="4" t="s">
        <v>127</v>
      </c>
      <c r="E24" s="4" t="s">
        <v>128</v>
      </c>
      <c r="F24" s="4" t="s">
        <v>129</v>
      </c>
      <c r="G24" s="4" t="s">
        <v>130</v>
      </c>
    </row>
    <row r="25" customFormat="false" ht="35.05" hidden="false" customHeight="false" outlineLevel="0" collapsed="false">
      <c r="A25" s="2" t="s">
        <v>131</v>
      </c>
      <c r="B25" s="3" t="n">
        <f aca="true">TODAY()+23</f>
        <v>46085</v>
      </c>
      <c r="C25" s="4" t="s">
        <v>49</v>
      </c>
      <c r="D25" s="4" t="s">
        <v>132</v>
      </c>
      <c r="E25" s="4" t="s">
        <v>133</v>
      </c>
      <c r="F25" s="4" t="s">
        <v>134</v>
      </c>
      <c r="G25" s="4" t="s">
        <v>135</v>
      </c>
    </row>
    <row r="26" customFormat="false" ht="46.25" hidden="false" customHeight="false" outlineLevel="0" collapsed="false">
      <c r="A26" s="2" t="s">
        <v>136</v>
      </c>
      <c r="B26" s="3" t="n">
        <f aca="true">TODAY()+24</f>
        <v>46086</v>
      </c>
      <c r="C26" s="4" t="s">
        <v>8</v>
      </c>
      <c r="D26" s="4" t="s">
        <v>55</v>
      </c>
      <c r="E26" s="4" t="s">
        <v>137</v>
      </c>
      <c r="F26" s="4" t="s">
        <v>138</v>
      </c>
      <c r="G26" s="4" t="s">
        <v>139</v>
      </c>
    </row>
    <row r="27" customFormat="false" ht="35.05" hidden="false" customHeight="false" outlineLevel="0" collapsed="false">
      <c r="A27" s="2" t="s">
        <v>140</v>
      </c>
      <c r="B27" s="3" t="n">
        <f aca="true">TODAY()+25</f>
        <v>46087</v>
      </c>
      <c r="C27" s="4" t="s">
        <v>14</v>
      </c>
      <c r="D27" s="4" t="s">
        <v>141</v>
      </c>
      <c r="E27" s="4" t="s">
        <v>142</v>
      </c>
      <c r="F27" s="4" t="s">
        <v>143</v>
      </c>
      <c r="G27" s="4" t="s">
        <v>144</v>
      </c>
    </row>
    <row r="28" customFormat="false" ht="35.05" hidden="false" customHeight="false" outlineLevel="0" collapsed="false">
      <c r="A28" s="2" t="s">
        <v>145</v>
      </c>
      <c r="B28" s="3" t="n">
        <f aca="true">TODAY()+26</f>
        <v>46088</v>
      </c>
      <c r="C28" s="4" t="s">
        <v>20</v>
      </c>
      <c r="D28" s="4" t="s">
        <v>146</v>
      </c>
      <c r="E28" s="4" t="s">
        <v>147</v>
      </c>
      <c r="F28" s="4" t="s">
        <v>148</v>
      </c>
      <c r="G28" s="4" t="s">
        <v>149</v>
      </c>
    </row>
    <row r="29" customFormat="false" ht="35.05" hidden="false" customHeight="false" outlineLevel="0" collapsed="false">
      <c r="A29" s="2" t="s">
        <v>150</v>
      </c>
      <c r="B29" s="3" t="n">
        <f aca="true">TODAY()+27</f>
        <v>46089</v>
      </c>
      <c r="C29" s="4" t="s">
        <v>26</v>
      </c>
      <c r="D29" s="4" t="s">
        <v>151</v>
      </c>
      <c r="E29" s="4" t="s">
        <v>152</v>
      </c>
      <c r="F29" s="4" t="s">
        <v>153</v>
      </c>
      <c r="G29" s="4" t="s">
        <v>154</v>
      </c>
    </row>
    <row r="30" customFormat="false" ht="46.25" hidden="false" customHeight="false" outlineLevel="0" collapsed="false">
      <c r="A30" s="2" t="s">
        <v>155</v>
      </c>
      <c r="B30" s="3" t="n">
        <f aca="true">TODAY()+28</f>
        <v>46090</v>
      </c>
      <c r="C30" s="4" t="s">
        <v>8</v>
      </c>
      <c r="D30" s="4" t="s">
        <v>86</v>
      </c>
      <c r="E30" s="4" t="s">
        <v>156</v>
      </c>
      <c r="F30" s="4" t="s">
        <v>157</v>
      </c>
      <c r="G30" s="4" t="s">
        <v>158</v>
      </c>
    </row>
    <row r="31" customFormat="false" ht="46.25" hidden="false" customHeight="false" outlineLevel="0" collapsed="false">
      <c r="A31" s="2" t="s">
        <v>159</v>
      </c>
      <c r="B31" s="3" t="n">
        <f aca="true">TODAY()+29</f>
        <v>46091</v>
      </c>
      <c r="C31" s="4" t="s">
        <v>37</v>
      </c>
      <c r="D31" s="4" t="s">
        <v>160</v>
      </c>
      <c r="E31" s="4" t="s">
        <v>161</v>
      </c>
      <c r="F31" s="4" t="s">
        <v>162</v>
      </c>
      <c r="G31" s="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0"/>
  </cols>
  <sheetData>
    <row r="1" customFormat="false" ht="16.4" hidden="false" customHeight="false" outlineLevel="0" collapsed="false">
      <c r="A1" s="5" t="s">
        <v>164</v>
      </c>
    </row>
    <row r="2" customFormat="false" ht="15" hidden="false" customHeight="false" outlineLevel="0" collapsed="false">
      <c r="A2" s="6"/>
    </row>
    <row r="3" customFormat="false" ht="16.4" hidden="false" customHeight="false" outlineLevel="0" collapsed="false">
      <c r="A3" s="5" t="s">
        <v>165</v>
      </c>
    </row>
    <row r="4" customFormat="false" ht="15" hidden="false" customHeight="false" outlineLevel="0" collapsed="false">
      <c r="A4" s="6"/>
    </row>
    <row r="5" customFormat="false" ht="15" hidden="false" customHeight="false" outlineLevel="0" collapsed="false">
      <c r="A5" s="7" t="s">
        <v>166</v>
      </c>
    </row>
    <row r="6" customFormat="false" ht="23.85" hidden="false" customHeight="false" outlineLevel="0" collapsed="false">
      <c r="A6" s="6" t="s">
        <v>167</v>
      </c>
    </row>
    <row r="7" customFormat="false" ht="15" hidden="false" customHeight="false" outlineLevel="0" collapsed="false">
      <c r="A7" s="6" t="s">
        <v>168</v>
      </c>
    </row>
    <row r="8" customFormat="false" ht="15" hidden="false" customHeight="false" outlineLevel="0" collapsed="false">
      <c r="A8" s="6" t="s">
        <v>169</v>
      </c>
    </row>
    <row r="9" customFormat="false" ht="15" hidden="false" customHeight="false" outlineLevel="0" collapsed="false">
      <c r="A9" s="8" t="s">
        <v>170</v>
      </c>
    </row>
    <row r="10" customFormat="false" ht="15" hidden="false" customHeight="false" outlineLevel="0" collapsed="false">
      <c r="A10" s="6"/>
    </row>
    <row r="11" customFormat="false" ht="16.4" hidden="false" customHeight="false" outlineLevel="0" collapsed="false">
      <c r="A11" s="5" t="s">
        <v>171</v>
      </c>
    </row>
    <row r="12" customFormat="false" ht="15" hidden="false" customHeight="false" outlineLevel="0" collapsed="false">
      <c r="A12" s="6"/>
    </row>
    <row r="13" customFormat="false" ht="16.4" hidden="false" customHeight="false" outlineLevel="0" collapsed="false">
      <c r="A13" s="5" t="s">
        <v>172</v>
      </c>
    </row>
    <row r="14" customFormat="false" ht="15" hidden="false" customHeight="false" outlineLevel="0" collapsed="false">
      <c r="A14" s="7" t="s">
        <v>173</v>
      </c>
    </row>
    <row r="15" customFormat="false" ht="15" hidden="false" customHeight="false" outlineLevel="0" collapsed="false">
      <c r="A15" s="6" t="s">
        <v>174</v>
      </c>
    </row>
    <row r="16" customFormat="false" ht="15" hidden="false" customHeight="false" outlineLevel="0" collapsed="false">
      <c r="A16" s="6" t="s">
        <v>175</v>
      </c>
    </row>
    <row r="17" customFormat="false" ht="15" hidden="false" customHeight="false" outlineLevel="0" collapsed="false">
      <c r="A17" s="8" t="s">
        <v>176</v>
      </c>
    </row>
    <row r="18" customFormat="false" ht="15" hidden="false" customHeight="false" outlineLevel="0" collapsed="false">
      <c r="A18" s="6"/>
    </row>
    <row r="19" customFormat="false" ht="16.4" hidden="false" customHeight="false" outlineLevel="0" collapsed="false">
      <c r="A19" s="5" t="s">
        <v>177</v>
      </c>
    </row>
    <row r="20" customFormat="false" ht="15" hidden="false" customHeight="false" outlineLevel="0" collapsed="false">
      <c r="A20" s="6" t="s">
        <v>178</v>
      </c>
    </row>
    <row r="21" customFormat="false" ht="15" hidden="false" customHeight="false" outlineLevel="0" collapsed="false">
      <c r="A21" s="6" t="s">
        <v>179</v>
      </c>
    </row>
    <row r="22" customFormat="false" ht="15" hidden="false" customHeight="false" outlineLevel="0" collapsed="false">
      <c r="A22" s="6" t="s">
        <v>180</v>
      </c>
    </row>
    <row r="23" customFormat="false" ht="15" hidden="false" customHeight="false" outlineLevel="0" collapsed="false">
      <c r="A23" s="6" t="s">
        <v>181</v>
      </c>
    </row>
    <row r="24" customFormat="false" ht="15" hidden="false" customHeight="false" outlineLevel="0" collapsed="false">
      <c r="A24" s="7" t="s">
        <v>182</v>
      </c>
    </row>
    <row r="25" customFormat="false" ht="15" hidden="false" customHeight="false" outlineLevel="0" collapsed="false">
      <c r="A25" s="8" t="s">
        <v>183</v>
      </c>
    </row>
    <row r="26" customFormat="false" ht="15" hidden="false" customHeight="false" outlineLevel="0" collapsed="false">
      <c r="A26" s="6"/>
    </row>
    <row r="27" customFormat="false" ht="16.4" hidden="false" customHeight="false" outlineLevel="0" collapsed="false">
      <c r="A27" s="5" t="s">
        <v>184</v>
      </c>
    </row>
    <row r="28" customFormat="false" ht="15" hidden="false" customHeight="false" outlineLevel="0" collapsed="false">
      <c r="A28" s="6" t="s">
        <v>185</v>
      </c>
    </row>
    <row r="29" customFormat="false" ht="15" hidden="false" customHeight="false" outlineLevel="0" collapsed="false">
      <c r="A29" s="6" t="s">
        <v>186</v>
      </c>
    </row>
    <row r="30" customFormat="false" ht="15" hidden="false" customHeight="false" outlineLevel="0" collapsed="false">
      <c r="A30" s="6" t="s">
        <v>187</v>
      </c>
    </row>
    <row r="31" customFormat="false" ht="15" hidden="false" customHeight="false" outlineLevel="0" collapsed="false">
      <c r="A31" s="7" t="s">
        <v>188</v>
      </c>
    </row>
    <row r="32" customFormat="false" ht="15" hidden="false" customHeight="false" outlineLevel="0" collapsed="false">
      <c r="A32" s="9" t="s">
        <v>189</v>
      </c>
    </row>
    <row r="33" customFormat="false" ht="15" hidden="false" customHeight="false" outlineLevel="0" collapsed="false">
      <c r="A33" s="6"/>
    </row>
    <row r="34" customFormat="false" ht="16.4" hidden="false" customHeight="false" outlineLevel="0" collapsed="false">
      <c r="A34" s="5" t="s">
        <v>190</v>
      </c>
    </row>
    <row r="35" customFormat="false" ht="15" hidden="false" customHeight="false" outlineLevel="0" collapsed="false">
      <c r="A35" s="6" t="s">
        <v>191</v>
      </c>
    </row>
    <row r="36" customFormat="false" ht="15" hidden="false" customHeight="false" outlineLevel="0" collapsed="false">
      <c r="A36" s="6" t="s">
        <v>192</v>
      </c>
    </row>
    <row r="37" customFormat="false" ht="15" hidden="false" customHeight="false" outlineLevel="0" collapsed="false">
      <c r="A37" s="7" t="s">
        <v>193</v>
      </c>
    </row>
    <row r="38" customFormat="false" ht="15" hidden="false" customHeight="false" outlineLevel="0" collapsed="false">
      <c r="A38" s="8" t="s">
        <v>194</v>
      </c>
    </row>
    <row r="39" customFormat="false" ht="15" hidden="false" customHeight="false" outlineLevel="0" collapsed="false">
      <c r="A39" s="6"/>
    </row>
    <row r="40" customFormat="false" ht="16.4" hidden="false" customHeight="false" outlineLevel="0" collapsed="false">
      <c r="A40" s="5" t="s">
        <v>195</v>
      </c>
    </row>
    <row r="41" customFormat="false" ht="15" hidden="false" customHeight="false" outlineLevel="0" collapsed="false">
      <c r="A41" s="6" t="s">
        <v>196</v>
      </c>
    </row>
    <row r="42" customFormat="false" ht="15" hidden="false" customHeight="false" outlineLevel="0" collapsed="false">
      <c r="A42" s="6" t="s">
        <v>197</v>
      </c>
    </row>
    <row r="43" customFormat="false" ht="15" hidden="false" customHeight="false" outlineLevel="0" collapsed="false">
      <c r="A43" s="6" t="s">
        <v>198</v>
      </c>
    </row>
    <row r="44" customFormat="false" ht="15" hidden="false" customHeight="false" outlineLevel="0" collapsed="false">
      <c r="A44" s="9" t="s">
        <v>199</v>
      </c>
    </row>
    <row r="45" customFormat="false" ht="15" hidden="false" customHeight="false" outlineLevel="0" collapsed="false">
      <c r="A45" s="8" t="s">
        <v>200</v>
      </c>
    </row>
    <row r="46" customFormat="false" ht="15" hidden="false" customHeight="false" outlineLevel="0" collapsed="false">
      <c r="A46" s="6"/>
    </row>
    <row r="47" customFormat="false" ht="16.4" hidden="false" customHeight="false" outlineLevel="0" collapsed="false">
      <c r="A47" s="5" t="s">
        <v>201</v>
      </c>
    </row>
    <row r="48" customFormat="false" ht="15" hidden="false" customHeight="false" outlineLevel="0" collapsed="false">
      <c r="A48" s="6"/>
    </row>
    <row r="49" customFormat="false" ht="15" hidden="false" customHeight="false" outlineLevel="0" collapsed="false">
      <c r="A49" s="6" t="s">
        <v>202</v>
      </c>
    </row>
    <row r="50" customFormat="false" ht="15" hidden="false" customHeight="false" outlineLevel="0" collapsed="false">
      <c r="A50" s="6" t="s">
        <v>203</v>
      </c>
    </row>
    <row r="51" customFormat="false" ht="15" hidden="false" customHeight="false" outlineLevel="0" collapsed="false">
      <c r="A51" s="6" t="s">
        <v>204</v>
      </c>
    </row>
    <row r="52" customFormat="false" ht="15" hidden="false" customHeight="false" outlineLevel="0" collapsed="false">
      <c r="A52" s="6" t="s">
        <v>205</v>
      </c>
    </row>
    <row r="53" customFormat="false" ht="15" hidden="false" customHeight="false" outlineLevel="0" collapsed="false">
      <c r="A53" s="6"/>
    </row>
    <row r="54" customFormat="false" ht="15" hidden="false" customHeight="false" outlineLevel="0" collapsed="false">
      <c r="A54" s="7" t="s">
        <v>206</v>
      </c>
    </row>
    <row r="55" customFormat="false" ht="15" hidden="false" customHeight="false" outlineLevel="0" collapsed="false">
      <c r="A55" s="6"/>
    </row>
    <row r="56" customFormat="false" ht="15" hidden="false" customHeight="false" outlineLevel="0" collapsed="false">
      <c r="A56" s="6" t="s">
        <v>207</v>
      </c>
    </row>
    <row r="57" customFormat="false" ht="15" hidden="false" customHeight="false" outlineLevel="0" collapsed="false">
      <c r="A57" s="10" t="s">
        <v>208</v>
      </c>
    </row>
    <row r="58" customFormat="false" ht="15" hidden="false" customHeight="false" outlineLevel="0" collapsed="false">
      <c r="A58" s="10" t="s">
        <v>209</v>
      </c>
    </row>
    <row r="59" customFormat="false" ht="15" hidden="false" customHeight="false" outlineLevel="0" collapsed="false">
      <c r="A59" s="10" t="s">
        <v>210</v>
      </c>
    </row>
    <row r="60" customFormat="false" ht="15" hidden="false" customHeight="false" outlineLevel="0" collapsed="false">
      <c r="A60" s="10" t="s">
        <v>211</v>
      </c>
    </row>
    <row r="61" customFormat="false" ht="15" hidden="false" customHeight="false" outlineLevel="0" collapsed="false">
      <c r="A61" s="10" t="s">
        <v>212</v>
      </c>
    </row>
    <row r="62" customFormat="false" ht="15" hidden="false" customHeight="false" outlineLevel="0" collapsed="false">
      <c r="A62" s="6"/>
    </row>
    <row r="63" customFormat="false" ht="15" hidden="false" customHeight="false" outlineLevel="0" collapsed="false">
      <c r="A63" s="7" t="s">
        <v>213</v>
      </c>
    </row>
    <row r="64" customFormat="false" ht="15" hidden="false" customHeight="false" outlineLevel="0" collapsed="false">
      <c r="A64" s="6" t="s">
        <v>214</v>
      </c>
    </row>
    <row r="65" customFormat="false" ht="15" hidden="false" customHeight="false" outlineLevel="0" collapsed="false">
      <c r="A65" s="6" t="s">
        <v>215</v>
      </c>
    </row>
    <row r="66" customFormat="false" ht="15" hidden="false" customHeight="false" outlineLevel="0" collapsed="false">
      <c r="A66" s="6" t="s">
        <v>216</v>
      </c>
    </row>
    <row r="67" customFormat="false" ht="15" hidden="false" customHeight="false" outlineLevel="0" collapsed="false">
      <c r="A67" s="6" t="s">
        <v>217</v>
      </c>
    </row>
    <row r="68" customFormat="false" ht="15" hidden="false" customHeight="false" outlineLevel="0" collapsed="false">
      <c r="A68" s="6"/>
    </row>
    <row r="69" customFormat="false" ht="15" hidden="false" customHeight="false" outlineLevel="0" collapsed="false">
      <c r="A69" s="8" t="s">
        <v>218</v>
      </c>
    </row>
    <row r="70" customFormat="false" ht="15" hidden="false" customHeight="false" outlineLevel="0" collapsed="false">
      <c r="A70" s="6" t="s">
        <v>219</v>
      </c>
    </row>
    <row r="71" customFormat="false" ht="15" hidden="false" customHeight="false" outlineLevel="0" collapsed="false">
      <c r="A71" s="6" t="s">
        <v>220</v>
      </c>
    </row>
    <row r="72" customFormat="false" ht="15" hidden="false" customHeight="false" outlineLevel="0" collapsed="false">
      <c r="A72" s="6" t="s">
        <v>221</v>
      </c>
    </row>
    <row r="73" customFormat="false" ht="15" hidden="false" customHeight="false" outlineLevel="0" collapsed="false">
      <c r="A73" s="6" t="s">
        <v>222</v>
      </c>
    </row>
    <row r="74" customFormat="false" ht="15" hidden="false" customHeight="false" outlineLevel="0" collapsed="false">
      <c r="A74" s="6"/>
    </row>
    <row r="75" customFormat="false" ht="16.4" hidden="false" customHeight="false" outlineLevel="0" collapsed="false">
      <c r="A75" s="5" t="s">
        <v>223</v>
      </c>
    </row>
    <row r="76" customFormat="false" ht="15" hidden="false" customHeight="false" outlineLevel="0" collapsed="false">
      <c r="A76" s="6"/>
    </row>
    <row r="77" customFormat="false" ht="15" hidden="false" customHeight="false" outlineLevel="0" collapsed="false">
      <c r="A77" s="6" t="s">
        <v>224</v>
      </c>
    </row>
    <row r="78" customFormat="false" ht="15" hidden="false" customHeight="false" outlineLevel="0" collapsed="false">
      <c r="A78" s="6" t="s">
        <v>225</v>
      </c>
    </row>
    <row r="79" customFormat="false" ht="15" hidden="false" customHeight="false" outlineLevel="0" collapsed="false">
      <c r="A79" s="6" t="s">
        <v>226</v>
      </c>
    </row>
    <row r="80" customFormat="false" ht="15" hidden="false" customHeight="false" outlineLevel="0" collapsed="false">
      <c r="A80" s="6" t="s">
        <v>227</v>
      </c>
    </row>
    <row r="81" customFormat="false" ht="15" hidden="false" customHeight="false" outlineLevel="0" collapsed="false">
      <c r="A81" s="6" t="s">
        <v>228</v>
      </c>
    </row>
    <row r="82" customFormat="false" ht="15" hidden="false" customHeight="false" outlineLevel="0" collapsed="false">
      <c r="A82" s="6" t="s">
        <v>229</v>
      </c>
    </row>
    <row r="83" customFormat="false" ht="15" hidden="false" customHeight="false" outlineLevel="0" collapsed="false">
      <c r="A83" s="7" t="s">
        <v>230</v>
      </c>
    </row>
    <row r="84" customFormat="false" ht="15" hidden="false" customHeight="false" outlineLevel="0" collapsed="false">
      <c r="A84" s="6"/>
    </row>
    <row r="85" customFormat="false" ht="15" hidden="false" customHeight="false" outlineLevel="0" collapsed="false">
      <c r="A85" s="6" t="s">
        <v>231</v>
      </c>
    </row>
    <row r="86" customFormat="false" ht="15" hidden="false" customHeight="false" outlineLevel="0" collapsed="false">
      <c r="A86" s="6" t="s">
        <v>232</v>
      </c>
    </row>
    <row r="87" customFormat="false" ht="15" hidden="false" customHeight="false" outlineLevel="0" collapsed="false">
      <c r="A87" s="6" t="s">
        <v>233</v>
      </c>
    </row>
    <row r="88" customFormat="false" ht="15" hidden="false" customHeight="false" outlineLevel="0" collapsed="false">
      <c r="A88" s="6" t="s">
        <v>234</v>
      </c>
    </row>
    <row r="89" customFormat="false" ht="15" hidden="false" customHeight="false" outlineLevel="0" collapsed="false">
      <c r="A89" s="6" t="s">
        <v>235</v>
      </c>
    </row>
    <row r="90" customFormat="false" ht="15" hidden="false" customHeight="false" outlineLevel="0" collapsed="false">
      <c r="A90" s="6" t="s">
        <v>236</v>
      </c>
    </row>
    <row r="91" customFormat="false" ht="15" hidden="false" customHeight="false" outlineLevel="0" collapsed="false">
      <c r="A91" s="7" t="s">
        <v>237</v>
      </c>
    </row>
    <row r="92" customFormat="false" ht="15" hidden="false" customHeight="false" outlineLevel="0" collapsed="false">
      <c r="A92" s="6"/>
    </row>
    <row r="93" customFormat="false" ht="16.4" hidden="false" customHeight="false" outlineLevel="0" collapsed="false">
      <c r="A93" s="5" t="s">
        <v>238</v>
      </c>
    </row>
    <row r="94" customFormat="false" ht="15" hidden="false" customHeight="false" outlineLevel="0" collapsed="false">
      <c r="A94" s="6"/>
    </row>
    <row r="95" customFormat="false" ht="15" hidden="false" customHeight="false" outlineLevel="0" collapsed="false">
      <c r="A95" s="6" t="s">
        <v>239</v>
      </c>
    </row>
    <row r="96" customFormat="false" ht="15" hidden="false" customHeight="false" outlineLevel="0" collapsed="false">
      <c r="A96" s="6" t="s">
        <v>240</v>
      </c>
    </row>
    <row r="97" customFormat="false" ht="15" hidden="false" customHeight="false" outlineLevel="0" collapsed="false">
      <c r="A97" s="6"/>
    </row>
    <row r="98" customFormat="false" ht="15" hidden="false" customHeight="false" outlineLevel="0" collapsed="false">
      <c r="A98" s="9" t="s">
        <v>241</v>
      </c>
    </row>
    <row r="99" customFormat="false" ht="15" hidden="false" customHeight="false" outlineLevel="0" collapsed="false">
      <c r="A99" s="6" t="s">
        <v>242</v>
      </c>
    </row>
    <row r="100" customFormat="false" ht="15" hidden="false" customHeight="false" outlineLevel="0" collapsed="false">
      <c r="A100" s="6" t="s">
        <v>243</v>
      </c>
    </row>
    <row r="101" customFormat="false" ht="15" hidden="false" customHeight="false" outlineLevel="0" collapsed="false">
      <c r="A101" s="6" t="s">
        <v>244</v>
      </c>
    </row>
    <row r="102" customFormat="false" ht="15" hidden="false" customHeight="false" outlineLevel="0" collapsed="false">
      <c r="A102" s="6" t="s">
        <v>245</v>
      </c>
    </row>
    <row r="103" customFormat="false" ht="15" hidden="false" customHeight="false" outlineLevel="0" collapsed="false">
      <c r="A103" s="6"/>
    </row>
    <row r="104" customFormat="false" ht="16.4" hidden="false" customHeight="false" outlineLevel="0" collapsed="false">
      <c r="A104" s="5" t="s">
        <v>246</v>
      </c>
    </row>
    <row r="105" customFormat="false" ht="15" hidden="false" customHeight="false" outlineLevel="0" collapsed="false">
      <c r="A105" s="6"/>
    </row>
    <row r="106" customFormat="false" ht="15" hidden="false" customHeight="false" outlineLevel="0" collapsed="false">
      <c r="A106" s="6" t="s">
        <v>247</v>
      </c>
    </row>
    <row r="107" customFormat="false" ht="15" hidden="false" customHeight="false" outlineLevel="0" collapsed="false">
      <c r="A107" s="6" t="s">
        <v>248</v>
      </c>
    </row>
    <row r="108" customFormat="false" ht="15" hidden="false" customHeight="false" outlineLevel="0" collapsed="false">
      <c r="A108" s="6" t="s">
        <v>249</v>
      </c>
    </row>
    <row r="109" customFormat="false" ht="15" hidden="false" customHeight="false" outlineLevel="0" collapsed="false">
      <c r="A109" s="6" t="s">
        <v>250</v>
      </c>
    </row>
    <row r="110" customFormat="false" ht="15" hidden="false" customHeight="false" outlineLevel="0" collapsed="false">
      <c r="A110" s="6"/>
    </row>
    <row r="111" customFormat="false" ht="15" hidden="false" customHeight="false" outlineLevel="0" collapsed="false">
      <c r="A111" s="8" t="s">
        <v>251</v>
      </c>
    </row>
    <row r="112" customFormat="false" ht="15" hidden="false" customHeight="false" outlineLevel="0" collapsed="false">
      <c r="A112" s="7" t="s">
        <v>252</v>
      </c>
    </row>
    <row r="113" customFormat="false" ht="15" hidden="false" customHeight="false" outlineLevel="0" collapsed="false">
      <c r="A113" s="6"/>
    </row>
    <row r="114" customFormat="false" ht="15" hidden="false" customHeight="false" outlineLevel="0" collapsed="false">
      <c r="A114" s="6" t="s">
        <v>253</v>
      </c>
    </row>
    <row r="115" customFormat="false" ht="15" hidden="false" customHeight="false" outlineLevel="0" collapsed="false">
      <c r="A115" s="6"/>
    </row>
    <row r="116" customFormat="false" ht="15" hidden="false" customHeight="false" outlineLevel="0" collapsed="false">
      <c r="A116" s="6" t="s">
        <v>254</v>
      </c>
    </row>
    <row r="117" customFormat="false" ht="15" hidden="false" customHeight="false" outlineLevel="0" collapsed="false">
      <c r="A117" s="10" t="s">
        <v>255</v>
      </c>
    </row>
    <row r="118" customFormat="false" ht="15" hidden="false" customHeight="false" outlineLevel="0" collapsed="false">
      <c r="A118" s="10" t="s">
        <v>256</v>
      </c>
    </row>
    <row r="119" customFormat="false" ht="15" hidden="false" customHeight="false" outlineLevel="0" collapsed="false">
      <c r="A119" s="10" t="s">
        <v>257</v>
      </c>
    </row>
    <row r="120" customFormat="false" ht="15" hidden="false" customHeight="false" outlineLevel="0" collapsed="false">
      <c r="A120" s="10" t="s">
        <v>258</v>
      </c>
    </row>
    <row r="121" customFormat="false" ht="15" hidden="false" customHeight="false" outlineLevel="0" collapsed="false">
      <c r="A121" s="10" t="s">
        <v>259</v>
      </c>
    </row>
    <row r="122" customFormat="false" ht="15" hidden="false" customHeight="false" outlineLevel="0" collapsed="false">
      <c r="A122" s="6"/>
    </row>
    <row r="123" customFormat="false" ht="15" hidden="false" customHeight="false" outlineLevel="0" collapsed="false">
      <c r="A123" s="6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2026-02-09T18:23:29Z</dcterms:created>
  <dc:creator>openpyxl</dc:creator>
  <dc:description/>
  <dc:language>en-US</dc:language>
  <cp:lastModifiedBy/>
  <dcterms:modified xsi:type="dcterms:W3CDTF">2026-02-09T18:23:29Z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